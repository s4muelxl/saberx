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PA_COTACAO" state="visible" r:id="rId4"/>
    <sheet sheetId="2" name="COTAÇÃO_VENDEDOR" state="visible" r:id="rId5"/>
  </sheets>
  <calcPr calcId="171027"/>
</workbook>
</file>

<file path=xl/sharedStrings.xml><?xml version="1.0" encoding="utf-8"?>
<sst xmlns="http://schemas.openxmlformats.org/spreadsheetml/2006/main" count="74" uniqueCount="56">
  <si>
    <t xml:space="preserve">   SABERX • SISTEMA INTEGRADO DE COTAÇÃO, TCO &amp; COMPARATIVO DE PREÇOS</t>
  </si>
  <si>
    <t>DADOS DA SOLICITAÇÃO &amp; ENGENHARIA</t>
  </si>
  <si>
    <t>STATUS DO PROCESSO &amp; GOVERNANÇA DE COMPRAS</t>
  </si>
  <si>
    <t>RESUMO FINANCEIRO DA COTAÇÃO (RECALCULA COM FILTROS)</t>
  </si>
  <si>
    <t>Número Cotação:</t>
  </si>
  <si>
    <t>COT-IMP-2026-867</t>
  </si>
  <si>
    <t>Status Atual:</t>
  </si>
  <si>
    <t>EM COTAÇÃO / ANÁLISE</t>
  </si>
  <si>
    <t>TOTAL GASTO HOMOLOGADO</t>
  </si>
  <si>
    <t>SAVING OBTIDO (ECONOMIA)</t>
  </si>
  <si>
    <t>% EFICIÊNCIA SAVING</t>
  </si>
  <si>
    <t>Projeto:</t>
  </si>
  <si>
    <t>Mapa Cotacao Plataforma Acesso - Aco Carbono ATUALIZADO</t>
  </si>
  <si>
    <t>Alçada Requerida:</t>
  </si>
  <si>
    <t>Nível 2 (Gerência de Suprimentos)</t>
  </si>
  <si>
    <t>Responsável:</t>
  </si>
  <si>
    <t>Usuário Google Corporativo (Comprador Técnico)</t>
  </si>
  <si>
    <t>Condição Padrão:</t>
  </si>
  <si>
    <t>28 DDL - Posto Obra</t>
  </si>
  <si>
    <t>Data Abertura:</t>
  </si>
  <si>
    <t>25/09/2026</t>
  </si>
  <si>
    <t>Budget Teto Obra:</t>
  </si>
  <si>
    <t xml:space="preserve">   💡 GUIA OPERACIONAL:  [Colunas F até T]: ÁREA DE PREENCHIMENTO DOS FORNECEDORES/VENDEDORES (Preço, Frete, Imposto e Prazo)  |  [Colunas U até X]: MOTOR AUTOMÁTICO DE DECISÃO &amp; TCO (EXCLUSIVO COMPRADOR)</t>
  </si>
  <si>
    <t>1. ESPECIFICAÇÃO DOS MATERIAIS (COMPRADOR)</t>
  </si>
  <si>
    <t>2. FORNECEDOR A: JD AÇO</t>
  </si>
  <si>
    <t>3. FORNECEDOR B: GERDAU COMERCIAL</t>
  </si>
  <si>
    <t>4. FORNECEDOR C: ARCELORMITTAL</t>
  </si>
  <si>
    <t>5. DECISÃO DE COMPRAS &amp; SAVING</t>
  </si>
  <si>
    <t>Item</t>
  </si>
  <si>
    <t>Código MPR</t>
  </si>
  <si>
    <t>Descrição Detalhada do Material</t>
  </si>
  <si>
    <t>Qtd. Barras</t>
  </si>
  <si>
    <t>Peso Total (kg)</t>
  </si>
  <si>
    <t>Preço/kg (R$)</t>
  </si>
  <si>
    <t>Frete (R$)</t>
  </si>
  <si>
    <t>Imposto (%)</t>
  </si>
  <si>
    <t>Prazo (dias)</t>
  </si>
  <si>
    <t>TCO Total (R$)</t>
  </si>
  <si>
    <t>Fornecedor Vencedor</t>
  </si>
  <si>
    <t>Menor TCO (R$)</t>
  </si>
  <si>
    <t>Pior Cotação (R$)</t>
  </si>
  <si>
    <t>Saving Gerado (R$)</t>
  </si>
  <si>
    <t>MPR-CAI-1500-0188-1020</t>
  </si>
  <si>
    <t>CANTONEIRA ABAS IGUAIS 1.1/2" x 3/16" - AISI 1020</t>
  </si>
  <si>
    <t>MPR-CAI-2000-0188-1020</t>
  </si>
  <si>
    <t>CANTONEIRA ABAS IGUAIS 2" x 3/16" - AISI 1020</t>
  </si>
  <si>
    <t>MPR-TIR-1000-0400-0048-1020</t>
  </si>
  <si>
    <t>TUBO INDUSTRIAL RETANGULAR 100,00 X 40,00 X 4,75</t>
  </si>
  <si>
    <t>TOTAIS CONSOLIDADOS (RECALCULA AO FILTRAR):</t>
  </si>
  <si>
    <t>SABERX • FORMULÁRIO DE COTAÇÃO EXTERNA (PREENCHIMENTO PELO FORNECEDOR)</t>
  </si>
  <si>
    <t>Prezado Fornecedor: Favor preencher unicamente as colunas em Amarelo (Preço Base, Frete, Alíquotas e Prazo de Entrega). Retornar esta planilha assinada.</t>
  </si>
  <si>
    <t>Descrição dos Materiais Requeridos</t>
  </si>
  <si>
    <t>Peso Estimado</t>
  </si>
  <si>
    <t>Seu Preço Unitário (R$/kg)</t>
  </si>
  <si>
    <t>Frete Dedicado (R$)</t>
  </si>
  <si>
    <t>Prazo Entrega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</si>
</sst>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&quot;R$ &quot;#,##0.00"/>
    <numFmt numFmtId="165" formatCode="0.0%"/>
    <numFmt numFmtId="166" formatCode="#,##0.00 &quot;kg&quot;"/>
    <numFmt numFmtId="167" formatCode="0&quot; d&quot;"/>
    <numFmt numFmtId="168" formatCode="0 &quot;dias&quot;"/>
  </numFmts>
  <fonts count="15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b/>
      <color rgb="FFFFFFFF"/>
      <sz val="10"/>
      <name val="Segoe UI"/>
    </font>
    <font>
      <b/>
      <color rgb="FF0F172A"/>
      <sz val="10"/>
      <name val="Segoe UI"/>
    </font>
    <font>
      <color rgb="FF1E293B"/>
      <sz val="9"/>
      <name val="Segoe UI"/>
    </font>
    <font>
      <b/>
      <color rgb="FFD97706"/>
      <sz val="9"/>
      <name val="Segoe UI"/>
    </font>
    <font>
      <b/>
      <color rgb="FF94A3B8"/>
      <sz val="9"/>
      <name val="Segoe UI"/>
    </font>
    <font>
      <b/>
      <color rgb="FF0F172A"/>
      <sz val="14"/>
      <name val="Segoe UI"/>
    </font>
    <font>
      <b/>
      <color rgb="FF065F46"/>
      <sz val="14"/>
      <name val="Segoe UI"/>
    </font>
    <font>
      <b/>
      <color rgb="FF0F172A"/>
      <sz val="9"/>
      <name val="Segoe UI"/>
    </font>
    <font>
      <b/>
      <color rgb="FF1E3A8A"/>
      <sz val="8.5"/>
      <name val="Segoe UI"/>
    </font>
    <font>
      <b/>
      <color rgb="FFFFFFFF"/>
      <sz val="9"/>
      <name val="Segoe UI"/>
    </font>
    <font>
      <b/>
      <color rgb="FF14532D"/>
      <sz val="9"/>
      <name val="Segoe UI"/>
    </font>
    <font>
      <b/>
      <color rgb="FF065F46"/>
      <sz val="9"/>
      <name val="Segoe UI"/>
    </font>
    <font>
      <i/>
      <color rgb="FF1E293B"/>
      <sz val="9.5"/>
      <name val="Segoe UI"/>
    </font>
  </fonts>
  <fills count="2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65F46"/>
      </patternFill>
    </fill>
    <fill>
      <patternFill patternType="solid">
        <fgColor rgb="FFF1F5F9"/>
      </patternFill>
    </fill>
    <fill>
      <patternFill patternType="solid">
        <fgColor rgb="FFFEF3C7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1D4ED8"/>
      </patternFill>
    </fill>
    <fill>
      <patternFill patternType="solid">
        <fgColor rgb="FF0F766E"/>
      </patternFill>
    </fill>
    <fill>
      <patternFill patternType="solid">
        <fgColor rgb="FF6D28D9"/>
      </patternFill>
    </fill>
    <fill>
      <patternFill patternType="solid">
        <fgColor rgb="FF2563EB"/>
      </patternFill>
    </fill>
    <fill>
      <patternFill patternType="solid">
        <fgColor rgb="FF1E40AF"/>
      </patternFill>
    </fill>
    <fill>
      <patternFill patternType="solid">
        <fgColor rgb="FF0D9488"/>
      </patternFill>
    </fill>
    <fill>
      <patternFill patternType="solid">
        <fgColor rgb="FF115E59"/>
      </patternFill>
    </fill>
    <fill>
      <patternFill patternType="solid">
        <fgColor rgb="FF7C3AED"/>
      </patternFill>
    </fill>
    <fill>
      <patternFill patternType="solid">
        <fgColor rgb="FF5B21B6"/>
      </patternFill>
    </fill>
    <fill>
      <patternFill patternType="solid">
        <fgColor rgb="FF475569"/>
      </patternFill>
    </fill>
    <fill>
      <patternFill patternType="solid">
        <fgColor rgb="FFEFF6FF"/>
      </patternFill>
    </fill>
    <fill>
      <patternFill patternType="solid">
        <fgColor rgb="FFF0FDFA"/>
      </patternFill>
    </fill>
    <fill>
      <patternFill patternType="solid">
        <fgColor rgb="FFF5F3FF"/>
      </patternFill>
    </fill>
    <fill>
      <patternFill patternType="solid">
        <fgColor rgb="FFDCFCE7"/>
      </patternFill>
    </fill>
    <fill>
      <patternFill patternType="solid">
        <fgColor rgb="FFECFDF5"/>
      </patternFill>
    </fill>
    <fill>
      <patternFill patternType="solid">
        <fgColor rgb="FFD97706"/>
      </patternFill>
    </fill>
    <fill>
      <patternFill patternType="solid">
        <fgColor rgb="FFFFFBEB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medium">
        <color rgb="FF0F172A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5" borderId="1" xfId="0" applyFont="1" applyFill="1" applyBorder="1"/>
    <xf numFmtId="0" fontId="4" fillId="0" borderId="1" xfId="0" applyFont="1" applyBorder="1"/>
    <xf numFmtId="0" fontId="5" fillId="6" borderId="1" xfId="0" applyFont="1" applyFill="1" applyBorder="1"/>
    <xf numFmtId="0" fontId="6" fillId="7" borderId="0" xfId="0" applyFont="1" applyFill="1" applyAlignment="1">
      <alignment horizontal="center" vertical="top"/>
    </xf>
    <xf numFmtId="164" fontId="7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/>
    <xf numFmtId="0" fontId="10" fillId="8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 wrapText="1"/>
    </xf>
    <xf numFmtId="0" fontId="11" fillId="16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4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4" fontId="4" fillId="19" borderId="1" xfId="0" applyNumberFormat="1" applyFont="1" applyFill="1" applyBorder="1" applyAlignment="1">
      <alignment horizontal="right" vertical="center"/>
    </xf>
    <xf numFmtId="165" fontId="4" fillId="19" borderId="1" xfId="0" applyNumberFormat="1" applyFont="1" applyFill="1" applyBorder="1" applyAlignment="1">
      <alignment horizontal="right" vertical="center"/>
    </xf>
    <xf numFmtId="167" fontId="4" fillId="19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right" vertical="center"/>
    </xf>
    <xf numFmtId="164" fontId="4" fillId="20" borderId="1" xfId="0" applyNumberFormat="1" applyFont="1" applyFill="1" applyBorder="1" applyAlignment="1">
      <alignment horizontal="right" vertical="center"/>
    </xf>
    <xf numFmtId="165" fontId="4" fillId="20" borderId="1" xfId="0" applyNumberFormat="1" applyFont="1" applyFill="1" applyBorder="1" applyAlignment="1">
      <alignment horizontal="right" vertical="center"/>
    </xf>
    <xf numFmtId="167" fontId="4" fillId="20" borderId="1" xfId="0" applyNumberFormat="1" applyFont="1" applyFill="1" applyBorder="1" applyAlignment="1">
      <alignment horizontal="center" vertical="center"/>
    </xf>
    <xf numFmtId="164" fontId="4" fillId="21" borderId="1" xfId="0" applyNumberFormat="1" applyFont="1" applyFill="1" applyBorder="1" applyAlignment="1">
      <alignment horizontal="right" vertical="center"/>
    </xf>
    <xf numFmtId="165" fontId="4" fillId="21" borderId="1" xfId="0" applyNumberFormat="1" applyFont="1" applyFill="1" applyBorder="1" applyAlignment="1">
      <alignment horizontal="right" vertical="center"/>
    </xf>
    <xf numFmtId="167" fontId="4" fillId="21" borderId="1" xfId="0" applyNumberFormat="1" applyFont="1" applyFill="1" applyBorder="1" applyAlignment="1">
      <alignment horizontal="center" vertical="center"/>
    </xf>
    <xf numFmtId="0" fontId="12" fillId="22" borderId="1" xfId="0" applyFont="1" applyFill="1" applyBorder="1" applyAlignment="1">
      <alignment horizontal="center" vertical="center"/>
    </xf>
    <xf numFmtId="164" fontId="12" fillId="22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164" fontId="13" fillId="23" borderId="1" xfId="0" applyNumberFormat="1" applyFont="1" applyFill="1" applyBorder="1" applyAlignment="1">
      <alignment horizontal="right" vertical="center"/>
    </xf>
    <xf numFmtId="0" fontId="9" fillId="5" borderId="2" xfId="0" applyFont="1" applyFill="1" applyBorder="1" applyAlignment="1">
      <alignment horizontal="right" vertical="center"/>
    </xf>
    <xf numFmtId="4" fontId="9" fillId="0" borderId="2" xfId="0" applyNumberFormat="1" applyFont="1" applyBorder="1"/>
    <xf numFmtId="166" fontId="9" fillId="0" borderId="2" xfId="0" applyNumberFormat="1" applyFont="1" applyBorder="1"/>
    <xf numFmtId="164" fontId="9" fillId="0" borderId="2" xfId="0" applyNumberFormat="1" applyFont="1" applyBorder="1"/>
    <xf numFmtId="164" fontId="12" fillId="22" borderId="2" xfId="0" applyNumberFormat="1" applyFont="1" applyFill="1" applyBorder="1"/>
    <xf numFmtId="164" fontId="13" fillId="23" borderId="2" xfId="0" applyNumberFormat="1" applyFont="1" applyFill="1" applyBorder="1"/>
    <xf numFmtId="0" fontId="14" fillId="6" borderId="0" xfId="0" applyFont="1" applyFill="1" applyAlignment="1">
      <alignment horizontal="center" vertical="center"/>
    </xf>
    <xf numFmtId="0" fontId="11" fillId="24" borderId="1" xfId="0" applyFont="1" applyFill="1" applyBorder="1" applyAlignment="1">
      <alignment horizontal="center" vertical="center" wrapText="1"/>
    </xf>
    <xf numFmtId="0" fontId="0" fillId="0" borderId="1" xfId="0" applyBorder="1"/>
    <xf numFmtId="166" fontId="0" fillId="0" borderId="1" xfId="0" applyNumberFormat="1" applyBorder="1"/>
    <xf numFmtId="164" fontId="0" fillId="25" borderId="1" xfId="0" applyNumberFormat="1" applyFill="1" applyBorder="1"/>
    <xf numFmtId="168" fontId="0" fillId="25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"/>
  <sheetViews>
    <sheetView workbookViewId="0">
      <pane xSplit="4" ySplit="11" topLeftCell="E12" activePane="bottomRight" state="frozen"/>
      <selection pane="bottomRight"/>
    </sheetView>
  </sheetViews>
  <sheetFormatPr defaultRowHeight="15" outlineLevelRow="0" outlineLevelCol="0" x14ac:dyDescent="55"/>
  <cols>
    <col min="1" max="1" width="7" customWidth="1"/>
    <col min="2" max="2" width="26" customWidth="1"/>
    <col min="3" max="3" width="46" customWidth="1"/>
    <col min="4" max="4" width="13" customWidth="1"/>
    <col min="5" max="5" width="15" customWidth="1"/>
    <col min="6" max="6" width="14" customWidth="1"/>
    <col min="7" max="9" width="12" customWidth="1"/>
    <col min="10" max="10" width="16" customWidth="1"/>
    <col min="11" max="11" width="14" customWidth="1"/>
    <col min="12" max="14" width="12" customWidth="1"/>
    <col min="15" max="15" width="16" customWidth="1"/>
    <col min="16" max="16" width="14" customWidth="1"/>
    <col min="17" max="19" width="12" customWidth="1"/>
    <col min="20" max="20" width="16" customWidth="1"/>
    <col min="21" max="21" width="22" customWidth="1"/>
    <col min="22" max="23" width="16" customWidth="1"/>
    <col min="24" max="24" width="18" customWidth="1"/>
  </cols>
  <sheetData>
    <row r="1" ht="40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spans="1:24" x14ac:dyDescent="0.25">
      <c r="A3" s="2" t="s">
        <v>1</v>
      </c>
      <c r="B3" s="2"/>
      <c r="C3" s="2"/>
      <c r="D3" s="2"/>
      <c r="E3" s="2"/>
      <c r="F3" s="2" t="s">
        <v>2</v>
      </c>
      <c r="G3" s="2"/>
      <c r="H3" s="2"/>
      <c r="I3" s="2"/>
      <c r="J3" s="2"/>
      <c r="K3" s="2"/>
      <c r="L3" s="2"/>
      <c r="M3" s="3" t="s">
        <v>3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x14ac:dyDescent="0.25">
      <c r="A4" s="4" t="s">
        <v>4</v>
      </c>
      <c r="B4" s="4"/>
      <c r="C4" s="5" t="s">
        <v>5</v>
      </c>
      <c r="D4" s="5"/>
      <c r="E4" s="5"/>
      <c r="F4" s="4" t="s">
        <v>6</v>
      </c>
      <c r="G4" s="4"/>
      <c r="H4" s="4"/>
      <c r="I4" s="6" t="s">
        <v>7</v>
      </c>
      <c r="J4" s="6"/>
      <c r="K4" s="6"/>
      <c r="L4" s="6"/>
      <c r="M4" s="7" t="s">
        <v>8</v>
      </c>
      <c r="N4" s="7"/>
      <c r="O4" s="7"/>
      <c r="P4" s="7"/>
      <c r="Q4" s="7" t="s">
        <v>9</v>
      </c>
      <c r="R4" s="7"/>
      <c r="S4" s="7"/>
      <c r="T4" s="7"/>
      <c r="U4" s="7" t="s">
        <v>10</v>
      </c>
      <c r="V4" s="7"/>
      <c r="W4" s="7"/>
      <c r="X4" s="7"/>
    </row>
    <row r="5" spans="1:24" x14ac:dyDescent="0.25">
      <c r="A5" s="4" t="s">
        <v>11</v>
      </c>
      <c r="B5" s="4"/>
      <c r="C5" s="5" t="s">
        <v>12</v>
      </c>
      <c r="D5" s="5"/>
      <c r="E5" s="5"/>
      <c r="F5" s="4" t="s">
        <v>13</v>
      </c>
      <c r="G5" s="4"/>
      <c r="H5" s="4"/>
      <c r="I5" s="5" t="s">
        <v>14</v>
      </c>
      <c r="J5" s="5"/>
      <c r="K5" s="5"/>
      <c r="L5" s="5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1:24" x14ac:dyDescent="0.25">
      <c r="A6" s="4" t="s">
        <v>15</v>
      </c>
      <c r="B6" s="4"/>
      <c r="C6" s="5" t="s">
        <v>16</v>
      </c>
      <c r="D6" s="5"/>
      <c r="E6" s="5"/>
      <c r="F6" s="4" t="s">
        <v>17</v>
      </c>
      <c r="G6" s="4"/>
      <c r="H6" s="4"/>
      <c r="I6" s="5" t="s">
        <v>18</v>
      </c>
      <c r="J6" s="5"/>
      <c r="K6" s="5"/>
      <c r="L6" s="5"/>
      <c r="M6" s="8">
        <f>SUBTOTAL(109, V12:V14)</f>
      </c>
      <c r="N6" s="8"/>
      <c r="O6" s="8"/>
      <c r="P6" s="8"/>
      <c r="Q6" s="9">
        <f>SUBTOTAL(109, X12:X14)</f>
      </c>
      <c r="R6" s="9"/>
      <c r="S6" s="9"/>
      <c r="T6" s="9"/>
      <c r="U6" s="10">
        <f>Q6/(M6+Q6)</f>
      </c>
      <c r="V6" s="10"/>
      <c r="W6" s="10"/>
      <c r="X6" s="10"/>
    </row>
    <row r="7" spans="1:24" x14ac:dyDescent="0.25">
      <c r="A7" s="4" t="s">
        <v>19</v>
      </c>
      <c r="B7" s="4"/>
      <c r="C7" s="5" t="s">
        <v>20</v>
      </c>
      <c r="D7" s="5"/>
      <c r="E7" s="5"/>
      <c r="F7" s="4" t="s">
        <v>21</v>
      </c>
      <c r="G7" s="4"/>
      <c r="H7" s="4"/>
      <c r="I7" s="11">
        <v>12500</v>
      </c>
      <c r="J7" s="11"/>
      <c r="K7" s="11"/>
      <c r="L7" s="11"/>
      <c r="M7" s="8"/>
      <c r="N7" s="8"/>
      <c r="O7" s="8"/>
      <c r="P7" s="8"/>
      <c r="Q7" s="9"/>
      <c r="R7" s="9"/>
      <c r="S7" s="9"/>
      <c r="T7" s="9"/>
      <c r="U7" s="10"/>
      <c r="V7" s="10"/>
      <c r="W7" s="10"/>
      <c r="X7" s="10"/>
    </row>
    <row r="8" ht="24" customHeight="1" spans="1:24" x14ac:dyDescent="0.25">
      <c r="A8" s="12" t="s">
        <v>22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ht="8" customHeight="1" x14ac:dyDescent="0.25"/>
    <row r="10" ht="24" customHeight="1" spans="1:24" x14ac:dyDescent="0.25">
      <c r="A10" s="13" t="s">
        <v>23</v>
      </c>
      <c r="B10" s="13"/>
      <c r="C10" s="13"/>
      <c r="D10" s="13"/>
      <c r="E10" s="13"/>
      <c r="F10" s="14" t="s">
        <v>24</v>
      </c>
      <c r="G10" s="14"/>
      <c r="H10" s="14"/>
      <c r="I10" s="14"/>
      <c r="J10" s="14"/>
      <c r="K10" s="15" t="s">
        <v>25</v>
      </c>
      <c r="L10" s="15"/>
      <c r="M10" s="15"/>
      <c r="N10" s="15"/>
      <c r="O10" s="15"/>
      <c r="P10" s="16" t="s">
        <v>26</v>
      </c>
      <c r="Q10" s="16"/>
      <c r="R10" s="16"/>
      <c r="S10" s="16"/>
      <c r="T10" s="16"/>
      <c r="U10" s="3" t="s">
        <v>27</v>
      </c>
      <c r="V10" s="3"/>
      <c r="W10" s="3"/>
      <c r="X10" s="3"/>
    </row>
    <row r="11" ht="26" customHeight="1" spans="1:24" x14ac:dyDescent="0.25">
      <c r="A11" s="17" t="s">
        <v>28</v>
      </c>
      <c r="B11" s="17" t="s">
        <v>29</v>
      </c>
      <c r="C11" s="17" t="s">
        <v>30</v>
      </c>
      <c r="D11" s="17" t="s">
        <v>31</v>
      </c>
      <c r="E11" s="17" t="s">
        <v>32</v>
      </c>
      <c r="F11" s="18" t="s">
        <v>33</v>
      </c>
      <c r="G11" s="18" t="s">
        <v>34</v>
      </c>
      <c r="H11" s="18" t="s">
        <v>35</v>
      </c>
      <c r="I11" s="18" t="s">
        <v>36</v>
      </c>
      <c r="J11" s="19" t="s">
        <v>37</v>
      </c>
      <c r="K11" s="20" t="s">
        <v>33</v>
      </c>
      <c r="L11" s="20" t="s">
        <v>34</v>
      </c>
      <c r="M11" s="20" t="s">
        <v>35</v>
      </c>
      <c r="N11" s="20" t="s">
        <v>36</v>
      </c>
      <c r="O11" s="21" t="s">
        <v>37</v>
      </c>
      <c r="P11" s="22" t="s">
        <v>33</v>
      </c>
      <c r="Q11" s="22" t="s">
        <v>34</v>
      </c>
      <c r="R11" s="22" t="s">
        <v>35</v>
      </c>
      <c r="S11" s="22" t="s">
        <v>36</v>
      </c>
      <c r="T11" s="23" t="s">
        <v>37</v>
      </c>
      <c r="U11" s="24" t="s">
        <v>38</v>
      </c>
      <c r="V11" s="24" t="s">
        <v>39</v>
      </c>
      <c r="W11" s="25" t="s">
        <v>40</v>
      </c>
      <c r="X11" s="24" t="s">
        <v>41</v>
      </c>
    </row>
    <row r="12" ht="24" customHeight="1" spans="1:24" x14ac:dyDescent="0.25">
      <c r="A12" s="26">
        <v>1</v>
      </c>
      <c r="B12" s="27" t="s">
        <v>42</v>
      </c>
      <c r="C12" s="27" t="s">
        <v>43</v>
      </c>
      <c r="D12" s="28">
        <v>26.94</v>
      </c>
      <c r="E12" s="29">
        <v>451.71</v>
      </c>
      <c r="F12" s="30">
        <v>7.39</v>
      </c>
      <c r="G12" s="30">
        <v>50</v>
      </c>
      <c r="H12" s="31">
        <v>0.12</v>
      </c>
      <c r="I12" s="32">
        <v>8</v>
      </c>
      <c r="J12" s="33">
        <f>(F12*E12*(1+H12))+G12</f>
      </c>
      <c r="K12" s="34">
        <v>7.55</v>
      </c>
      <c r="L12" s="34">
        <v>40</v>
      </c>
      <c r="M12" s="35">
        <v>0.12</v>
      </c>
      <c r="N12" s="36">
        <v>12</v>
      </c>
      <c r="O12" s="33">
        <f>(K12*E12*(1+M12))+L12</f>
      </c>
      <c r="P12" s="37">
        <v>7.48</v>
      </c>
      <c r="Q12" s="37">
        <v>60</v>
      </c>
      <c r="R12" s="38">
        <v>0.12</v>
      </c>
      <c r="S12" s="39">
        <v>6</v>
      </c>
      <c r="T12" s="33">
        <f>(P12*E12*(1+R12))+Q12</f>
      </c>
      <c r="U12" s="40">
        <f>IF(V12=J12, "JD Aço", IF(V12=O12, "Gerdau Comercial", IF(V12=T12, "ArcelorMittal", "N/A")))</f>
      </c>
      <c r="V12" s="41">
        <f>MIN(J12, O12, T12)</f>
      </c>
      <c r="W12" s="42">
        <f>MAX(J12, O12, T12)</f>
      </c>
      <c r="X12" s="43">
        <f>W12-V12</f>
      </c>
    </row>
    <row r="13" ht="24" customHeight="1" spans="1:24" x14ac:dyDescent="0.25">
      <c r="A13" s="26">
        <v>2</v>
      </c>
      <c r="B13" s="27" t="s">
        <v>44</v>
      </c>
      <c r="C13" s="27" t="s">
        <v>45</v>
      </c>
      <c r="D13" s="28">
        <v>30.9</v>
      </c>
      <c r="E13" s="29">
        <v>704.52</v>
      </c>
      <c r="F13" s="30">
        <v>7.42</v>
      </c>
      <c r="G13" s="30">
        <v>70</v>
      </c>
      <c r="H13" s="31">
        <v>0.12</v>
      </c>
      <c r="I13" s="32">
        <v>10</v>
      </c>
      <c r="J13" s="33">
        <f>(F13*E13*(1+H13))+G13</f>
      </c>
      <c r="K13" s="34">
        <v>7.38</v>
      </c>
      <c r="L13" s="34">
        <v>65</v>
      </c>
      <c r="M13" s="35">
        <v>0.12</v>
      </c>
      <c r="N13" s="36">
        <v>15</v>
      </c>
      <c r="O13" s="33">
        <f>(K13*E13*(1+M13))+L13</f>
      </c>
      <c r="P13" s="37">
        <v>7.45</v>
      </c>
      <c r="Q13" s="37">
        <v>75</v>
      </c>
      <c r="R13" s="38">
        <v>0.12</v>
      </c>
      <c r="S13" s="39">
        <v>7</v>
      </c>
      <c r="T13" s="33">
        <f>(P13*E13*(1+R13))+Q13</f>
      </c>
      <c r="U13" s="40">
        <f>IF(V13=J13, "JD Aço", IF(V13=O13, "Gerdau Comercial", IF(V13=T13, "ArcelorMittal", "N/A")))</f>
      </c>
      <c r="V13" s="41">
        <f>MIN(J13, O13, T13)</f>
      </c>
      <c r="W13" s="42">
        <f>MAX(J13, O13, T13)</f>
      </c>
      <c r="X13" s="43">
        <f>W13-V13</f>
      </c>
    </row>
    <row r="14" ht="24" customHeight="1" spans="1:24" x14ac:dyDescent="0.25">
      <c r="A14" s="26">
        <v>3</v>
      </c>
      <c r="B14" s="27" t="s">
        <v>46</v>
      </c>
      <c r="C14" s="27" t="s">
        <v>47</v>
      </c>
      <c r="D14" s="28">
        <v>10</v>
      </c>
      <c r="E14" s="29">
        <v>600</v>
      </c>
      <c r="F14" s="30">
        <v>7.95</v>
      </c>
      <c r="G14" s="30">
        <v>60</v>
      </c>
      <c r="H14" s="31">
        <v>0.12</v>
      </c>
      <c r="I14" s="32">
        <v>9</v>
      </c>
      <c r="J14" s="33">
        <f>(F14*E14*(1+H14))+G14</f>
      </c>
      <c r="K14" s="34">
        <v>8.1</v>
      </c>
      <c r="L14" s="34">
        <v>50</v>
      </c>
      <c r="M14" s="35">
        <v>0.12</v>
      </c>
      <c r="N14" s="36">
        <v>14</v>
      </c>
      <c r="O14" s="33">
        <f>(K14*E14*(1+M14))+L14</f>
      </c>
      <c r="P14" s="37">
        <v>7.89</v>
      </c>
      <c r="Q14" s="37">
        <v>80</v>
      </c>
      <c r="R14" s="38">
        <v>0.12</v>
      </c>
      <c r="S14" s="39">
        <v>8</v>
      </c>
      <c r="T14" s="33">
        <f>(P14*E14*(1+R14))+Q14</f>
      </c>
      <c r="U14" s="40">
        <f>IF(V14=J14, "JD Aço", IF(V14=O14, "Gerdau Comercial", IF(V14=T14, "ArcelorMittal", "N/A")))</f>
      </c>
      <c r="V14" s="41">
        <f>MIN(J14, O14, T14)</f>
      </c>
      <c r="W14" s="42">
        <f>MAX(J14, O14, T14)</f>
      </c>
      <c r="X14" s="43">
        <f>W14-V14</f>
      </c>
    </row>
    <row r="15" ht="26" customHeight="1" spans="1:24" x14ac:dyDescent="0.25">
      <c r="A15" s="44" t="s">
        <v>48</v>
      </c>
      <c r="B15" s="44"/>
      <c r="C15" s="44"/>
      <c r="D15" s="45">
        <f>SUBTOTAL(109, D12:D14)</f>
      </c>
      <c r="E15" s="46">
        <f>SUBTOTAL(109, E12:E14)</f>
      </c>
      <c r="J15" s="47">
        <f>SUBTOTAL(109, J12:J14)</f>
      </c>
      <c r="O15" s="47">
        <f>SUBTOTAL(109, O12:O14)</f>
      </c>
      <c r="T15" s="47">
        <f>SUBTOTAL(109, T12:T14)</f>
      </c>
      <c r="V15" s="48">
        <f>SUBTOTAL(109, V12:V14)</f>
      </c>
      <c r="X15" s="49">
        <f>SUBTOTAL(109, X12:X14)</f>
      </c>
    </row>
  </sheetData>
  <mergeCells count="33">
    <mergeCell ref="A1:X1"/>
    <mergeCell ref="A3:E3"/>
    <mergeCell ref="F3:L3"/>
    <mergeCell ref="M3:X3"/>
    <mergeCell ref="A4:B4"/>
    <mergeCell ref="C4:E4"/>
    <mergeCell ref="F4:H4"/>
    <mergeCell ref="I4:L4"/>
    <mergeCell ref="M4:P5"/>
    <mergeCell ref="Q4:T5"/>
    <mergeCell ref="U4:X5"/>
    <mergeCell ref="A5:B5"/>
    <mergeCell ref="C5:E5"/>
    <mergeCell ref="F5:H5"/>
    <mergeCell ref="I5:L5"/>
    <mergeCell ref="A6:B6"/>
    <mergeCell ref="C6:E6"/>
    <mergeCell ref="F6:H6"/>
    <mergeCell ref="I6:L6"/>
    <mergeCell ref="M6:P7"/>
    <mergeCell ref="Q6:T7"/>
    <mergeCell ref="U6:X7"/>
    <mergeCell ref="A7:B7"/>
    <mergeCell ref="C7:E7"/>
    <mergeCell ref="F7:H7"/>
    <mergeCell ref="I7:L7"/>
    <mergeCell ref="A8:X8"/>
    <mergeCell ref="A10:E10"/>
    <mergeCell ref="F10:J10"/>
    <mergeCell ref="K10:O10"/>
    <mergeCell ref="P10:T10"/>
    <mergeCell ref="U10:X10"/>
    <mergeCell ref="A15:C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 outlineLevelRow="0" outlineLevelCol="0" x14ac:dyDescent="55"/>
  <cols>
    <col min="1" max="1" width="8" customWidth="1"/>
    <col min="2" max="2" width="26" customWidth="1"/>
    <col min="3" max="3" width="48" customWidth="1"/>
    <col min="4" max="4" width="16" customWidth="1"/>
    <col min="5" max="5" width="24" customWidth="1"/>
    <col min="6" max="7" width="20" customWidth="1"/>
  </cols>
  <sheetData>
    <row r="1" ht="36" customHeight="1" spans="1:7" x14ac:dyDescent="0.25">
      <c r="A1" s="1" t="s">
        <v>49</v>
      </c>
      <c r="B1" s="1"/>
      <c r="C1" s="1"/>
      <c r="D1" s="1"/>
      <c r="E1" s="1"/>
      <c r="F1" s="1"/>
      <c r="G1" s="1"/>
    </row>
    <row r="3" ht="24" customHeight="1" spans="1:7" x14ac:dyDescent="0.25">
      <c r="A3" s="50" t="s">
        <v>50</v>
      </c>
      <c r="B3" s="50"/>
      <c r="C3" s="50"/>
      <c r="D3" s="50"/>
      <c r="E3" s="50"/>
      <c r="F3" s="50"/>
      <c r="G3" s="50"/>
    </row>
    <row r="5" ht="26" customHeight="1" spans="1:7" x14ac:dyDescent="0.25">
      <c r="A5" s="17" t="s">
        <v>28</v>
      </c>
      <c r="B5" s="17" t="s">
        <v>29</v>
      </c>
      <c r="C5" s="17" t="s">
        <v>51</v>
      </c>
      <c r="D5" s="17" t="s">
        <v>52</v>
      </c>
      <c r="E5" s="51" t="s">
        <v>53</v>
      </c>
      <c r="F5" s="51" t="s">
        <v>54</v>
      </c>
      <c r="G5" s="51" t="s">
        <v>55</v>
      </c>
    </row>
    <row r="6" ht="22" customHeight="1" spans="1:7" x14ac:dyDescent="0.25">
      <c r="A6" s="52">
        <v>1</v>
      </c>
      <c r="B6" s="52" t="s">
        <v>42</v>
      </c>
      <c r="C6" s="52" t="s">
        <v>43</v>
      </c>
      <c r="D6" s="53">
        <v>451.71</v>
      </c>
      <c r="E6" s="54">
        <v>7.39</v>
      </c>
      <c r="F6" s="54">
        <v>50</v>
      </c>
      <c r="G6" s="55">
        <v>8</v>
      </c>
    </row>
    <row r="7" ht="22" customHeight="1" spans="1:7" x14ac:dyDescent="0.25">
      <c r="A7" s="52">
        <v>2</v>
      </c>
      <c r="B7" s="52" t="s">
        <v>44</v>
      </c>
      <c r="C7" s="52" t="s">
        <v>45</v>
      </c>
      <c r="D7" s="53">
        <v>704.52</v>
      </c>
      <c r="E7" s="54">
        <v>7.42</v>
      </c>
      <c r="F7" s="54">
        <v>70</v>
      </c>
      <c r="G7" s="55">
        <v>10</v>
      </c>
    </row>
    <row r="8" ht="22" customHeight="1" spans="1:7" x14ac:dyDescent="0.25">
      <c r="A8" s="52">
        <v>3</v>
      </c>
      <c r="B8" s="52" t="s">
        <v>46</v>
      </c>
      <c r="C8" s="52" t="s">
        <v>47</v>
      </c>
      <c r="D8" s="53">
        <v>600</v>
      </c>
      <c r="E8" s="54">
        <v>7.95</v>
      </c>
      <c r="F8" s="54">
        <v>60</v>
      </c>
      <c r="G8" s="55">
        <v>9</v>
      </c>
    </row>
  </sheetData>
  <mergeCells count="2">
    <mergeCell ref="A1:G1"/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MAPA_COTACAO</vt:lpstr>
      <vt:lpstr>COTAÇÃO_VENDEDOR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SaberX Enterprise Solution</dc:creator>
  <dc:title/>
  <dc:subject/>
  <dc:description/>
  <cp:keywords/>
  <cp:category/>
  <cp:lastModifiedBy>Arquiteto de Soluções SaberX</cp:lastModifiedBy>
  <dcterms:created xsi:type="dcterms:W3CDTF">2026-09-25T16:23:18Z</dcterms:created>
  <dcterms:modified xsi:type="dcterms:W3CDTF">2026-09-25T16:23:18Z</dcterms:modified>
</cp:coreProperties>
</file>