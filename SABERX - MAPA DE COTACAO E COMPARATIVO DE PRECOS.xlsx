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PA_COTACAO" state="visible" r:id="rId4"/>
    <sheet sheetId="2" name="DASHBOARD_SABERX" state="visible" r:id="rId5"/>
    <sheet sheetId="3" name="LOG_AUDITORIA" state="visible" r:id="rId6"/>
  </sheets>
  <calcPr calcId="171027"/>
</workbook>
</file>

<file path=xl/sharedStrings.xml><?xml version="1.0" encoding="utf-8"?>
<sst xmlns="http://schemas.openxmlformats.org/spreadsheetml/2006/main" count="108" uniqueCount="97">
  <si>
    <t>SABERX • MAPA DE COTAÇÃO CORPORATIVO &amp; COMPARATIVO TCO</t>
  </si>
  <si>
    <t>Número da Cotação:</t>
  </si>
  <si>
    <t>COT-2026-0842</t>
  </si>
  <si>
    <t>Budget Estimado:</t>
  </si>
  <si>
    <t>Projeto:</t>
  </si>
  <si>
    <t>Estruturas Metálicas - Módulo Sul</t>
  </si>
  <si>
    <t>Alçada Aprovação:</t>
  </si>
  <si>
    <t>Nível 3 (Diretoria)</t>
  </si>
  <si>
    <t>Cliente:</t>
  </si>
  <si>
    <t>Indústrias Metalmax S/A</t>
  </si>
  <si>
    <t>Cond. Padrão:</t>
  </si>
  <si>
    <t>28 DDL (Faturamento)</t>
  </si>
  <si>
    <t>Responsável (Comprador):</t>
  </si>
  <si>
    <t>Carlos Eduardo Ramos</t>
  </si>
  <si>
    <t>Economia Total (Saving):</t>
  </si>
  <si>
    <t>Data da Cotação:</t>
  </si>
  <si>
    <t>Total Gasto (Vencedor):</t>
  </si>
  <si>
    <t>Status da Cotação:</t>
  </si>
  <si>
    <t>FECHADO/APROVADO</t>
  </si>
  <si>
    <t>Última Revisão:</t>
  </si>
  <si>
    <t>25/09/2026 13:00</t>
  </si>
  <si>
    <t>Item</t>
  </si>
  <si>
    <t>Código MPR</t>
  </si>
  <si>
    <t>Descrição dos Materiais / Aço</t>
  </si>
  <si>
    <t>Unid.</t>
  </si>
  <si>
    <t>Qtd.</t>
  </si>
  <si>
    <t>JD Aço - Preço</t>
  </si>
  <si>
    <t>JD - Frete</t>
  </si>
  <si>
    <t>JD - Imp.(%)</t>
  </si>
  <si>
    <t>JD - Prazo</t>
  </si>
  <si>
    <t>Gerdau - Preço</t>
  </si>
  <si>
    <t>Gerdau - Frete</t>
  </si>
  <si>
    <t>Gerdau - Imp.(%)</t>
  </si>
  <si>
    <t>Gerdau - Prazo</t>
  </si>
  <si>
    <t>Arcelor - Preço</t>
  </si>
  <si>
    <t>Arcelor - Frete</t>
  </si>
  <si>
    <t>Arcelor - Imp.(%)</t>
  </si>
  <si>
    <t>Arcelor - Prazo</t>
  </si>
  <si>
    <t>TCO (JD Aço)</t>
  </si>
  <si>
    <t>TCO (Gerdau)</t>
  </si>
  <si>
    <t>TCO (Arcelor)</t>
  </si>
  <si>
    <t>Menor TCO (R$)</t>
  </si>
  <si>
    <t>Fornecedor Vencedor</t>
  </si>
  <si>
    <t>Saving Total (R$)</t>
  </si>
  <si>
    <t>Status do Item</t>
  </si>
  <si>
    <t>Budget Unit. (R$)</t>
  </si>
  <si>
    <t>MPR-0101</t>
  </si>
  <si>
    <t>Viga I ASTM A36 6" x 12.5 lb/ft</t>
  </si>
  <si>
    <t>barra</t>
  </si>
  <si>
    <t>MPR-0102</t>
  </si>
  <si>
    <t>Tubo Quadrado Estrutural 50x50x2.65mm</t>
  </si>
  <si>
    <t>MPR-0103</t>
  </si>
  <si>
    <t>Chapa Fina Quente 1/4" (6.35mm) A36</t>
  </si>
  <si>
    <t>kg</t>
  </si>
  <si>
    <t>MPR-0104</t>
  </si>
  <si>
    <t>Cantoneira Abas Iguais 2" x 3/16" 6m</t>
  </si>
  <si>
    <t>MPR-0105</t>
  </si>
  <si>
    <t>Barra Chata Laminada 1" x 1/4" 6m</t>
  </si>
  <si>
    <t>MPR-0106</t>
  </si>
  <si>
    <t>Eletrodo Revestido E7018 3.25mm</t>
  </si>
  <si>
    <t>MPR-0107</t>
  </si>
  <si>
    <t>Parafuso Sextavado A325 3/4" x 2.1/2"</t>
  </si>
  <si>
    <t>pç</t>
  </si>
  <si>
    <t>TOTAIS CONSOLIDADOS (ITENS FILTRADOS):</t>
  </si>
  <si>
    <t>SABERX BI • PAINEL EXECUTIVO DE COTAÇÃO &amp; PERFORMANCE DE COMPRAS</t>
  </si>
  <si>
    <t>TOTAL GASTO PREVISTO (R$)</t>
  </si>
  <si>
    <t>SAVING TOTAL GERADO (R$)</t>
  </si>
  <si>
    <t>% SAVING MÉDIO</t>
  </si>
  <si>
    <t>FORNECEDOR LÍDER DE GANHOS</t>
  </si>
  <si>
    <t>JD Aço (57% itens)</t>
  </si>
  <si>
    <t>DESEMPENHO POR FORNECEDOR PARTICIPANTE</t>
  </si>
  <si>
    <t>Fornecedor</t>
  </si>
  <si>
    <t>Itens Vencidos</t>
  </si>
  <si>
    <t>Prazo Médio (dias)</t>
  </si>
  <si>
    <t>Participação (%)</t>
  </si>
  <si>
    <t>Status Homologação</t>
  </si>
  <si>
    <t>JD Aço</t>
  </si>
  <si>
    <t>HOMOLOGADO A</t>
  </si>
  <si>
    <t>Gerdau Comercial</t>
  </si>
  <si>
    <t>ArcelorMittal</t>
  </si>
  <si>
    <t>SABERX • TRILHA DE AUDITORIA E LOGS DE TRANSAÇÃO (SOX / COMPLIANCE)</t>
  </si>
  <si>
    <t>Timestamp</t>
  </si>
  <si>
    <t>Usuário Windows</t>
  </si>
  <si>
    <t>Cotação ID</t>
  </si>
  <si>
    <t>Ação Registrada</t>
  </si>
  <si>
    <t>Valor Total (R$)</t>
  </si>
  <si>
    <t>Alçada Requerida</t>
  </si>
  <si>
    <t>25/09/2026 10:15:32</t>
  </si>
  <si>
    <t>carlos.ramos</t>
  </si>
  <si>
    <t>CRIAÇÃO DE COTAÇÃO</t>
  </si>
  <si>
    <t>Comprador Pleno</t>
  </si>
  <si>
    <t>25/09/2026 11:42:10</t>
  </si>
  <si>
    <t>PREENCHIMENTO DE PREÇOS</t>
  </si>
  <si>
    <t>25/09/2026 13:00:04</t>
  </si>
  <si>
    <t>diretoria.operacoes</t>
  </si>
  <si>
    <t>APROVAÇÃO &amp; EXPORTAÇÃO</t>
  </si>
  <si>
    <t>Aprovado por Diretoria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</si>
</sst>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R$ &quot;#,##0.00"/>
    <numFmt numFmtId="165" formatCode="DD/MM/YYYY"/>
    <numFmt numFmtId="166" formatCode="0.0%"/>
    <numFmt numFmtId="167" formatCode="0.0"/>
  </numFmts>
  <fonts count="9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b/>
      <color rgb="FF1E293B"/>
      <sz val="10"/>
      <name val="Segoe UI"/>
    </font>
    <font>
      <color rgb="FF1E293B"/>
      <sz val="10"/>
      <name val="Segoe UI"/>
    </font>
    <font>
      <b/>
      <color rgb="FF0F5132"/>
      <sz val="10"/>
      <name val="Segoe UI"/>
    </font>
    <font>
      <b/>
      <color rgb="FFFFFFFF"/>
      <sz val="10"/>
      <name val="Segoe UI"/>
    </font>
    <font>
      <b/>
      <color rgb="FF64748B"/>
      <sz val="9"/>
      <name val="Segoe UI"/>
    </font>
    <font>
      <b/>
      <color rgb="FF1B2A4A"/>
      <sz val="18"/>
      <name val="Segoe UI"/>
    </font>
    <font>
      <b/>
      <color rgb="FF0F5132"/>
      <sz val="18"/>
      <name val="Segoe UI"/>
    </font>
  </fonts>
  <fills count="14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EBF2F7"/>
      </patternFill>
    </fill>
    <fill>
      <patternFill patternType="solid">
        <fgColor rgb="FFD1E7DD"/>
      </patternFill>
    </fill>
    <fill>
      <patternFill patternType="solid">
        <fgColor rgb="FF1E3A8A"/>
      </patternFill>
    </fill>
    <fill>
      <patternFill patternType="solid">
        <fgColor rgb="FF0D9488"/>
      </patternFill>
    </fill>
    <fill>
      <patternFill patternType="solid">
        <fgColor rgb="FF6366F1"/>
      </patternFill>
    </fill>
    <fill>
      <patternFill patternType="solid">
        <fgColor rgb="FF334155"/>
      </patternFill>
    </fill>
    <fill>
      <patternFill patternType="solid">
        <fgColor rgb="FF0F5132"/>
      </patternFill>
    </fill>
    <fill>
      <patternFill patternType="solid">
        <fgColor rgb="FF47556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243B68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1" xfId="0" applyFont="1" applyFill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/>
    <xf numFmtId="165" fontId="3" fillId="0" borderId="1" xfId="0" applyNumberFormat="1" applyFont="1" applyBorder="1"/>
    <xf numFmtId="0" fontId="4" fillId="4" borderId="1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3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3" fontId="3" fillId="11" borderId="1" xfId="0" applyNumberFormat="1" applyFont="1" applyFill="1" applyBorder="1" applyAlignment="1">
      <alignment horizontal="right" vertical="center"/>
    </xf>
    <xf numFmtId="164" fontId="3" fillId="11" borderId="1" xfId="0" applyNumberFormat="1" applyFont="1" applyFill="1" applyBorder="1" applyAlignment="1">
      <alignment horizontal="right" vertical="center"/>
    </xf>
    <xf numFmtId="166" fontId="3" fillId="11" borderId="1" xfId="0" applyNumberFormat="1" applyFont="1" applyFill="1" applyBorder="1" applyAlignment="1">
      <alignment horizontal="right" vertical="center"/>
    </xf>
    <xf numFmtId="164" fontId="2" fillId="11" borderId="1" xfId="0" applyNumberFormat="1" applyFont="1" applyFill="1" applyBorder="1" applyAlignment="1">
      <alignment horizontal="right" vertical="center"/>
    </xf>
    <xf numFmtId="0" fontId="4" fillId="11" borderId="1" xfId="0" applyFont="1" applyFill="1" applyBorder="1" applyAlignment="1">
      <alignment horizontal="center" vertical="center"/>
    </xf>
    <xf numFmtId="3" fontId="3" fillId="12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3" fontId="3" fillId="12" borderId="1" xfId="0" applyNumberFormat="1" applyFont="1" applyFill="1" applyBorder="1" applyAlignment="1">
      <alignment horizontal="right" vertical="center"/>
    </xf>
    <xf numFmtId="164" fontId="3" fillId="12" borderId="1" xfId="0" applyNumberFormat="1" applyFont="1" applyFill="1" applyBorder="1" applyAlignment="1">
      <alignment horizontal="right" vertical="center"/>
    </xf>
    <xf numFmtId="166" fontId="3" fillId="12" borderId="1" xfId="0" applyNumberFormat="1" applyFont="1" applyFill="1" applyBorder="1" applyAlignment="1">
      <alignment horizontal="right" vertical="center"/>
    </xf>
    <xf numFmtId="164" fontId="2" fillId="12" borderId="1" xfId="0" applyNumberFormat="1" applyFont="1" applyFill="1" applyBorder="1" applyAlignment="1">
      <alignment horizontal="right" vertical="center"/>
    </xf>
    <xf numFmtId="0" fontId="4" fillId="1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3" fontId="2" fillId="0" borderId="1" xfId="0" applyNumberFormat="1" applyFont="1" applyBorder="1"/>
    <xf numFmtId="164" fontId="2" fillId="4" borderId="1" xfId="0" applyNumberFormat="1" applyFont="1" applyFill="1" applyBorder="1"/>
    <xf numFmtId="0" fontId="6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6" fontId="7" fillId="0" borderId="0" xfId="0" applyNumberFormat="1" applyFont="1"/>
    <xf numFmtId="49" fontId="7" fillId="0" borderId="0" xfId="0" applyNumberFormat="1" applyFont="1"/>
    <xf numFmtId="0" fontId="2" fillId="3" borderId="0" xfId="0" applyFont="1" applyFill="1"/>
    <xf numFmtId="0" fontId="5" fillId="13" borderId="0" xfId="0" applyFont="1" applyFill="1" applyAlignment="1">
      <alignment horizontal="center"/>
    </xf>
    <xf numFmtId="3" fontId="3" fillId="0" borderId="1" xfId="0" applyNumberFormat="1" applyFont="1" applyBorder="1"/>
    <xf numFmtId="167" fontId="3" fillId="0" borderId="1" xfId="0" applyNumberFormat="1" applyFont="1" applyBorder="1"/>
    <xf numFmtId="166" fontId="3" fillId="0" borderId="1" xfId="0" applyNumberFormat="1" applyFont="1" applyBorder="1"/>
    <xf numFmtId="0" fontId="1" fillId="2" borderId="0" xfId="0" applyFont="1" applyFill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7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4" customWidth="1"/>
    <col min="3" max="3" width="36" customWidth="1"/>
    <col min="4" max="5" width="10" customWidth="1"/>
    <col min="6" max="6" width="15" customWidth="1"/>
    <col min="7" max="8" width="13" customWidth="1"/>
    <col min="9" max="9" width="12" customWidth="1"/>
    <col min="10" max="10" width="15" customWidth="1"/>
    <col min="11" max="12" width="13" customWidth="1"/>
    <col min="13" max="13" width="12" customWidth="1"/>
    <col min="14" max="14" width="15" customWidth="1"/>
    <col min="15" max="16" width="13" customWidth="1"/>
    <col min="17" max="17" width="12" customWidth="1"/>
    <col min="18" max="21" width="16" customWidth="1"/>
    <col min="22" max="22" width="22" customWidth="1"/>
    <col min="23" max="23" width="16" customWidth="1"/>
    <col min="24" max="24" width="18" customWidth="1"/>
    <col min="25" max="25" width="16" customWidth="1"/>
  </cols>
  <sheetData>
    <row r="1" ht="3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0" customHeight="1" spans="1:5" x14ac:dyDescent="0.25">
      <c r="A2" s="2" t="s">
        <v>1</v>
      </c>
      <c r="B2" s="3" t="s">
        <v>2</v>
      </c>
      <c r="D2" s="2" t="s">
        <v>3</v>
      </c>
      <c r="E2" s="4">
        <v>65000</v>
      </c>
    </row>
    <row r="3" ht="20" customHeight="1" spans="1:5" x14ac:dyDescent="0.25">
      <c r="A3" s="2" t="s">
        <v>4</v>
      </c>
      <c r="B3" s="3" t="s">
        <v>5</v>
      </c>
      <c r="D3" s="2" t="s">
        <v>6</v>
      </c>
      <c r="E3" s="5" t="s">
        <v>7</v>
      </c>
    </row>
    <row r="4" ht="20" customHeight="1" spans="1:5" x14ac:dyDescent="0.25">
      <c r="A4" s="2" t="s">
        <v>8</v>
      </c>
      <c r="B4" s="3" t="s">
        <v>9</v>
      </c>
      <c r="D4" s="2" t="s">
        <v>10</v>
      </c>
      <c r="E4" s="5" t="s">
        <v>11</v>
      </c>
    </row>
    <row r="5" ht="20" customHeight="1" spans="1:5" x14ac:dyDescent="0.25">
      <c r="A5" s="2" t="s">
        <v>12</v>
      </c>
      <c r="B5" s="3" t="s">
        <v>13</v>
      </c>
      <c r="D5" s="2" t="s">
        <v>14</v>
      </c>
      <c r="E5" s="4">
        <f>SUBTOTAL(109, W10:W16)</f>
      </c>
    </row>
    <row r="6" ht="20" customHeight="1" spans="1:5" x14ac:dyDescent="0.25">
      <c r="A6" s="2" t="s">
        <v>15</v>
      </c>
      <c r="B6" s="6">
        <v>46290.125</v>
      </c>
      <c r="D6" s="2" t="s">
        <v>16</v>
      </c>
      <c r="E6" s="4">
        <f>SUMPRODUCT(E10:E16, U10:U16)</f>
      </c>
    </row>
    <row r="7" ht="20" customHeight="1" spans="1:5" x14ac:dyDescent="0.25">
      <c r="A7" s="2" t="s">
        <v>17</v>
      </c>
      <c r="B7" s="7" t="s">
        <v>18</v>
      </c>
      <c r="D7" s="2" t="s">
        <v>19</v>
      </c>
      <c r="E7" s="5" t="s">
        <v>20</v>
      </c>
    </row>
    <row r="8" ht="10" customHeight="1" x14ac:dyDescent="0.25"/>
    <row r="9" ht="28" customHeight="1" spans="1:25" x14ac:dyDescent="0.25">
      <c r="A9" s="8" t="s">
        <v>21</v>
      </c>
      <c r="B9" s="8" t="s">
        <v>22</v>
      </c>
      <c r="C9" s="8" t="s">
        <v>23</v>
      </c>
      <c r="D9" s="8" t="s">
        <v>24</v>
      </c>
      <c r="E9" s="8" t="s">
        <v>25</v>
      </c>
      <c r="F9" s="9" t="s">
        <v>26</v>
      </c>
      <c r="G9" s="9" t="s">
        <v>27</v>
      </c>
      <c r="H9" s="9" t="s">
        <v>28</v>
      </c>
      <c r="I9" s="9" t="s">
        <v>29</v>
      </c>
      <c r="J9" s="10" t="s">
        <v>30</v>
      </c>
      <c r="K9" s="10" t="s">
        <v>31</v>
      </c>
      <c r="L9" s="10" t="s">
        <v>32</v>
      </c>
      <c r="M9" s="10" t="s">
        <v>33</v>
      </c>
      <c r="N9" s="11" t="s">
        <v>34</v>
      </c>
      <c r="O9" s="11" t="s">
        <v>35</v>
      </c>
      <c r="P9" s="11" t="s">
        <v>36</v>
      </c>
      <c r="Q9" s="11" t="s">
        <v>37</v>
      </c>
      <c r="R9" s="12" t="s">
        <v>38</v>
      </c>
      <c r="S9" s="12" t="s">
        <v>39</v>
      </c>
      <c r="T9" s="12" t="s">
        <v>40</v>
      </c>
      <c r="U9" s="13" t="s">
        <v>41</v>
      </c>
      <c r="V9" s="13" t="s">
        <v>42</v>
      </c>
      <c r="W9" s="13" t="s">
        <v>43</v>
      </c>
      <c r="X9" s="8" t="s">
        <v>44</v>
      </c>
      <c r="Y9" s="14" t="s">
        <v>45</v>
      </c>
    </row>
    <row r="10" ht="22" customHeight="1" spans="1:25" x14ac:dyDescent="0.25">
      <c r="A10" s="15">
        <v>1</v>
      </c>
      <c r="B10" s="16" t="s">
        <v>46</v>
      </c>
      <c r="C10" s="17" t="s">
        <v>47</v>
      </c>
      <c r="D10" s="16" t="s">
        <v>48</v>
      </c>
      <c r="E10" s="18">
        <v>40</v>
      </c>
      <c r="F10" s="19">
        <v>345</v>
      </c>
      <c r="G10" s="19">
        <v>15</v>
      </c>
      <c r="H10" s="20">
        <v>0.12</v>
      </c>
      <c r="I10" s="15">
        <v>10</v>
      </c>
      <c r="J10" s="19">
        <v>360</v>
      </c>
      <c r="K10" s="19">
        <v>10</v>
      </c>
      <c r="L10" s="20">
        <v>0.12</v>
      </c>
      <c r="M10" s="15">
        <v>14</v>
      </c>
      <c r="N10" s="19">
        <v>350</v>
      </c>
      <c r="O10" s="19">
        <v>20</v>
      </c>
      <c r="P10" s="20">
        <v>0.12</v>
      </c>
      <c r="Q10" s="15">
        <v>8</v>
      </c>
      <c r="R10" s="19">
        <f>IF(F10&gt;0, (F10+G10)*(1+H10), "")</f>
      </c>
      <c r="S10" s="19">
        <f>IF(J10&gt;0, (J10+K10)*(1+L10), "")</f>
      </c>
      <c r="T10" s="19">
        <f>IF(N10&gt;0, (N10+O10)*(1+P10), "")</f>
      </c>
      <c r="U10" s="21">
        <f>MIN(R10:T10)</f>
      </c>
      <c r="V10" s="17">
        <f>IF(U10=R10, "JD Aço", IF(U10=S10, "Gerdau Comercial", IF(U10=T10, "ArcelorMittal", "N/A")))</f>
      </c>
      <c r="W10" s="21">
        <f>IF(AND(U10&gt;0, MAX(R10:T10)&gt;U10), (MAX(R10:T10)-U10)*E10, 0)</f>
      </c>
      <c r="X10" s="22">
        <f>IF(U10&lt;=Y10, IF(IF(V10="JD Aço", I10, IF(V10="Gerdau Comercial", M10, Q10))&lt;=15, "APROVADO", "REVISAR PRAZO"), "ESTOURO DE BUDGET")</f>
      </c>
      <c r="Y10" s="19">
        <v>420</v>
      </c>
    </row>
    <row r="11" ht="22" customHeight="1" spans="1:25" x14ac:dyDescent="0.25">
      <c r="A11" s="23">
        <v>2</v>
      </c>
      <c r="B11" s="24" t="s">
        <v>49</v>
      </c>
      <c r="C11" s="25" t="s">
        <v>50</v>
      </c>
      <c r="D11" s="24" t="s">
        <v>48</v>
      </c>
      <c r="E11" s="26">
        <v>80</v>
      </c>
      <c r="F11" s="27">
        <v>185</v>
      </c>
      <c r="G11" s="27">
        <v>8</v>
      </c>
      <c r="H11" s="28">
        <v>0.12</v>
      </c>
      <c r="I11" s="23">
        <v>7</v>
      </c>
      <c r="J11" s="27">
        <v>178</v>
      </c>
      <c r="K11" s="27">
        <v>12</v>
      </c>
      <c r="L11" s="28">
        <v>0.12</v>
      </c>
      <c r="M11" s="23">
        <v>12</v>
      </c>
      <c r="N11" s="27">
        <v>190</v>
      </c>
      <c r="O11" s="27">
        <v>5</v>
      </c>
      <c r="P11" s="28">
        <v>0.12</v>
      </c>
      <c r="Q11" s="23">
        <v>15</v>
      </c>
      <c r="R11" s="27">
        <f>IF(F11&gt;0, (F11+G11)*(1+H11), "")</f>
      </c>
      <c r="S11" s="27">
        <f>IF(J11&gt;0, (J11+K11)*(1+L11), "")</f>
      </c>
      <c r="T11" s="27">
        <f>IF(N11&gt;0, (N11+O11)*(1+P11), "")</f>
      </c>
      <c r="U11" s="29">
        <f>MIN(R11:T11)</f>
      </c>
      <c r="V11" s="25">
        <f>IF(U11=R11, "JD Aço", IF(U11=S11, "Gerdau Comercial", IF(U11=T11, "ArcelorMittal", "N/A")))</f>
      </c>
      <c r="W11" s="29">
        <f>IF(AND(U11&gt;0, MAX(R11:T11)&gt;U11), (MAX(R11:T11)-U11)*E11, 0)</f>
      </c>
      <c r="X11" s="30">
        <f>IF(U11&lt;=Y11, IF(IF(V11="JD Aço", I11, IF(V11="Gerdau Comercial", M11, Q11))&lt;=15, "APROVADO", "REVISAR PRAZO"), "ESTOURO DE BUDGET")</f>
      </c>
      <c r="Y11" s="27">
        <v>220</v>
      </c>
    </row>
    <row r="12" ht="22" customHeight="1" spans="1:25" x14ac:dyDescent="0.25">
      <c r="A12" s="15">
        <v>3</v>
      </c>
      <c r="B12" s="16" t="s">
        <v>51</v>
      </c>
      <c r="C12" s="17" t="s">
        <v>52</v>
      </c>
      <c r="D12" s="16" t="s">
        <v>53</v>
      </c>
      <c r="E12" s="18">
        <v>1200</v>
      </c>
      <c r="F12" s="19">
        <v>7.8</v>
      </c>
      <c r="G12" s="19">
        <v>0.4</v>
      </c>
      <c r="H12" s="20">
        <v>0.12</v>
      </c>
      <c r="I12" s="15">
        <v>12</v>
      </c>
      <c r="J12" s="19">
        <v>8.1</v>
      </c>
      <c r="K12" s="19">
        <v>0.3</v>
      </c>
      <c r="L12" s="20">
        <v>0.12</v>
      </c>
      <c r="M12" s="15">
        <v>10</v>
      </c>
      <c r="N12" s="19">
        <v>7.6</v>
      </c>
      <c r="O12" s="19">
        <v>0.45</v>
      </c>
      <c r="P12" s="20">
        <v>0.12</v>
      </c>
      <c r="Q12" s="15">
        <v>5</v>
      </c>
      <c r="R12" s="19">
        <f>IF(F12&gt;0, (F12+G12)*(1+H12), "")</f>
      </c>
      <c r="S12" s="19">
        <f>IF(J12&gt;0, (J12+K12)*(1+L12), "")</f>
      </c>
      <c r="T12" s="19">
        <f>IF(N12&gt;0, (N12+O12)*(1+P12), "")</f>
      </c>
      <c r="U12" s="21">
        <f>MIN(R12:T12)</f>
      </c>
      <c r="V12" s="17">
        <f>IF(U12=R12, "JD Aço", IF(U12=S12, "Gerdau Comercial", IF(U12=T12, "ArcelorMittal", "N/A")))</f>
      </c>
      <c r="W12" s="21">
        <f>IF(AND(U12&gt;0, MAX(R12:T12)&gt;U12), (MAX(R12:T12)-U12)*E12, 0)</f>
      </c>
      <c r="X12" s="22">
        <f>IF(U12&lt;=Y12, IF(IF(V12="JD Aço", I12, IF(V12="Gerdau Comercial", M12, Q12))&lt;=15, "APROVADO", "REVISAR PRAZO"), "ESTOURO DE BUDGET")</f>
      </c>
      <c r="Y12" s="19">
        <v>9.5</v>
      </c>
    </row>
    <row r="13" ht="22" customHeight="1" spans="1:25" x14ac:dyDescent="0.25">
      <c r="A13" s="23">
        <v>4</v>
      </c>
      <c r="B13" s="24" t="s">
        <v>54</v>
      </c>
      <c r="C13" s="25" t="s">
        <v>55</v>
      </c>
      <c r="D13" s="24" t="s">
        <v>48</v>
      </c>
      <c r="E13" s="26">
        <v>60</v>
      </c>
      <c r="F13" s="27">
        <v>142</v>
      </c>
      <c r="G13" s="27">
        <v>6</v>
      </c>
      <c r="H13" s="28">
        <v>0.12</v>
      </c>
      <c r="I13" s="23">
        <v>15</v>
      </c>
      <c r="J13" s="27">
        <v>139</v>
      </c>
      <c r="K13" s="27">
        <v>8</v>
      </c>
      <c r="L13" s="28">
        <v>0.12</v>
      </c>
      <c r="M13" s="23">
        <v>18</v>
      </c>
      <c r="N13" s="27">
        <v>145</v>
      </c>
      <c r="O13" s="27">
        <v>7</v>
      </c>
      <c r="P13" s="28">
        <v>0.12</v>
      </c>
      <c r="Q13" s="23">
        <v>10</v>
      </c>
      <c r="R13" s="27">
        <f>IF(F13&gt;0, (F13+G13)*(1+H13), "")</f>
      </c>
      <c r="S13" s="27">
        <f>IF(J13&gt;0, (J13+K13)*(1+L13), "")</f>
      </c>
      <c r="T13" s="27">
        <f>IF(N13&gt;0, (N13+O13)*(1+P13), "")</f>
      </c>
      <c r="U13" s="29">
        <f>MIN(R13:T13)</f>
      </c>
      <c r="V13" s="25">
        <f>IF(U13=R13, "JD Aço", IF(U13=S13, "Gerdau Comercial", IF(U13=T13, "ArcelorMittal", "N/A")))</f>
      </c>
      <c r="W13" s="29">
        <f>IF(AND(U13&gt;0, MAX(R13:T13)&gt;U13), (MAX(R13:T13)-U13)*E13, 0)</f>
      </c>
      <c r="X13" s="30">
        <f>IF(U13&lt;=Y13, IF(IF(V13="JD Aço", I13, IF(V13="Gerdau Comercial", M13, Q13))&lt;=15, "APROVADO", "REVISAR PRAZO"), "ESTOURO DE BUDGET")</f>
      </c>
      <c r="Y13" s="27">
        <v>175</v>
      </c>
    </row>
    <row r="14" ht="22" customHeight="1" spans="1:25" x14ac:dyDescent="0.25">
      <c r="A14" s="15">
        <v>5</v>
      </c>
      <c r="B14" s="16" t="s">
        <v>56</v>
      </c>
      <c r="C14" s="17" t="s">
        <v>57</v>
      </c>
      <c r="D14" s="16" t="s">
        <v>48</v>
      </c>
      <c r="E14" s="18">
        <v>50</v>
      </c>
      <c r="F14" s="19">
        <v>88</v>
      </c>
      <c r="G14" s="19">
        <v>4</v>
      </c>
      <c r="H14" s="20">
        <v>0.12</v>
      </c>
      <c r="I14" s="15">
        <v>5</v>
      </c>
      <c r="J14" s="19">
        <v>92</v>
      </c>
      <c r="K14" s="19">
        <v>3.5</v>
      </c>
      <c r="L14" s="20">
        <v>0.12</v>
      </c>
      <c r="M14" s="15">
        <v>7</v>
      </c>
      <c r="N14" s="19">
        <v>89.5</v>
      </c>
      <c r="O14" s="19">
        <v>4</v>
      </c>
      <c r="P14" s="20">
        <v>0.12</v>
      </c>
      <c r="Q14" s="15">
        <v>12</v>
      </c>
      <c r="R14" s="19">
        <f>IF(F14&gt;0, (F14+G14)*(1+H14), "")</f>
      </c>
      <c r="S14" s="19">
        <f>IF(J14&gt;0, (J14+K14)*(1+L14), "")</f>
      </c>
      <c r="T14" s="19">
        <f>IF(N14&gt;0, (N14+O14)*(1+P14), "")</f>
      </c>
      <c r="U14" s="21">
        <f>MIN(R14:T14)</f>
      </c>
      <c r="V14" s="17">
        <f>IF(U14=R14, "JD Aço", IF(U14=S14, "Gerdau Comercial", IF(U14=T14, "ArcelorMittal", "N/A")))</f>
      </c>
      <c r="W14" s="21">
        <f>IF(AND(U14&gt;0, MAX(R14:T14)&gt;U14), (MAX(R14:T14)-U14)*E14, 0)</f>
      </c>
      <c r="X14" s="22">
        <f>IF(U14&lt;=Y14, IF(IF(V14="JD Aço", I14, IF(V14="Gerdau Comercial", M14, Q14))&lt;=15, "APROVADO", "REVISAR PRAZO"), "ESTOURO DE BUDGET")</f>
      </c>
      <c r="Y14" s="19">
        <v>105</v>
      </c>
    </row>
    <row r="15" ht="22" customHeight="1" spans="1:25" x14ac:dyDescent="0.25">
      <c r="A15" s="23">
        <v>6</v>
      </c>
      <c r="B15" s="24" t="s">
        <v>58</v>
      </c>
      <c r="C15" s="25" t="s">
        <v>59</v>
      </c>
      <c r="D15" s="24" t="s">
        <v>53</v>
      </c>
      <c r="E15" s="26">
        <v>150</v>
      </c>
      <c r="F15" s="27">
        <v>24.5</v>
      </c>
      <c r="G15" s="27">
        <v>1.2</v>
      </c>
      <c r="H15" s="28">
        <v>0.1</v>
      </c>
      <c r="I15" s="23">
        <v>4</v>
      </c>
      <c r="J15" s="27">
        <v>23</v>
      </c>
      <c r="K15" s="27">
        <v>1.5</v>
      </c>
      <c r="L15" s="28">
        <v>0.1</v>
      </c>
      <c r="M15" s="23">
        <v>6</v>
      </c>
      <c r="N15" s="27">
        <v>25.5</v>
      </c>
      <c r="O15" s="27">
        <v>1</v>
      </c>
      <c r="P15" s="28">
        <v>0.1</v>
      </c>
      <c r="Q15" s="23">
        <v>4</v>
      </c>
      <c r="R15" s="27">
        <f>IF(F15&gt;0, (F15+G15)*(1+H15), "")</f>
      </c>
      <c r="S15" s="27">
        <f>IF(J15&gt;0, (J15+K15)*(1+L15), "")</f>
      </c>
      <c r="T15" s="27">
        <f>IF(N15&gt;0, (N15+O15)*(1+P15), "")</f>
      </c>
      <c r="U15" s="29">
        <f>MIN(R15:T15)</f>
      </c>
      <c r="V15" s="25">
        <f>IF(U15=R15, "JD Aço", IF(U15=S15, "Gerdau Comercial", IF(U15=T15, "ArcelorMittal", "N/A")))</f>
      </c>
      <c r="W15" s="29">
        <f>IF(AND(U15&gt;0, MAX(R15:T15)&gt;U15), (MAX(R15:T15)-U15)*E15, 0)</f>
      </c>
      <c r="X15" s="30">
        <f>IF(U15&lt;=Y15, IF(IF(V15="JD Aço", I15, IF(V15="Gerdau Comercial", M15, Q15))&lt;=15, "APROVADO", "REVISAR PRAZO"), "ESTOURO DE BUDGET")</f>
      </c>
      <c r="Y15" s="27">
        <v>30</v>
      </c>
    </row>
    <row r="16" ht="22" customHeight="1" spans="1:25" x14ac:dyDescent="0.25">
      <c r="A16" s="15">
        <v>7</v>
      </c>
      <c r="B16" s="16" t="s">
        <v>60</v>
      </c>
      <c r="C16" s="17" t="s">
        <v>61</v>
      </c>
      <c r="D16" s="16" t="s">
        <v>62</v>
      </c>
      <c r="E16" s="18">
        <v>500</v>
      </c>
      <c r="F16" s="19">
        <v>6.4</v>
      </c>
      <c r="G16" s="19">
        <v>0.3</v>
      </c>
      <c r="H16" s="20">
        <v>0.1</v>
      </c>
      <c r="I16" s="15">
        <v>8</v>
      </c>
      <c r="J16" s="19">
        <v>6.8</v>
      </c>
      <c r="K16" s="19">
        <v>0.25</v>
      </c>
      <c r="L16" s="20">
        <v>0.1</v>
      </c>
      <c r="M16" s="15">
        <v>10</v>
      </c>
      <c r="N16" s="19">
        <v>6.2</v>
      </c>
      <c r="O16" s="19">
        <v>0.4</v>
      </c>
      <c r="P16" s="20">
        <v>0.1</v>
      </c>
      <c r="Q16" s="15">
        <v>7</v>
      </c>
      <c r="R16" s="19">
        <f>IF(F16&gt;0, (F16+G16)*(1+H16), "")</f>
      </c>
      <c r="S16" s="19">
        <f>IF(J16&gt;0, (J16+K16)*(1+L16), "")</f>
      </c>
      <c r="T16" s="19">
        <f>IF(N16&gt;0, (N16+O16)*(1+P16), "")</f>
      </c>
      <c r="U16" s="21">
        <f>MIN(R16:T16)</f>
      </c>
      <c r="V16" s="17">
        <f>IF(U16=R16, "JD Aço", IF(U16=S16, "Gerdau Comercial", IF(U16=T16, "ArcelorMittal", "N/A")))</f>
      </c>
      <c r="W16" s="21">
        <f>IF(AND(U16&gt;0, MAX(R16:T16)&gt;U16), (MAX(R16:T16)-U16)*E16, 0)</f>
      </c>
      <c r="X16" s="22">
        <f>IF(U16&lt;=Y16, IF(IF(V16="JD Aço", I16, IF(V16="Gerdau Comercial", M16, Q16))&lt;=15, "APROVADO", "REVISAR PRAZO"), "ESTOURO DE BUDGET")</f>
      </c>
      <c r="Y16" s="19">
        <v>8</v>
      </c>
    </row>
    <row r="17" ht="24" customHeight="1" spans="3:23" x14ac:dyDescent="0.25">
      <c r="C17" s="31" t="s">
        <v>63</v>
      </c>
      <c r="E17" s="32">
        <f>SUBTOTAL(109, E10:E16)</f>
      </c>
      <c r="W17" s="33">
        <f>SUBTOTAL(109, W10:W16)</f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2"/>
  <sheetViews>
    <sheetView workbookViewId="0" showGridLines="0"/>
  </sheetViews>
  <sheetFormatPr defaultRowHeight="15" outlineLevelRow="0" outlineLevelCol="0" x14ac:dyDescent="55"/>
  <sheetData>
    <row r="2" ht="36" customHeight="1" spans="2:13" x14ac:dyDescent="0.25">
      <c r="B2" s="1" t="s">
        <v>64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ht="18" customHeight="1" spans="2:11" x14ac:dyDescent="0.25">
      <c r="B4" s="34" t="s">
        <v>65</v>
      </c>
      <c r="E4" s="34" t="s">
        <v>66</v>
      </c>
      <c r="H4" s="34" t="s">
        <v>67</v>
      </c>
      <c r="K4" s="34" t="s">
        <v>68</v>
      </c>
    </row>
    <row r="5" ht="32" customHeight="1" spans="2:11" x14ac:dyDescent="0.25">
      <c r="B5" s="35">
        <f>SUMPRODUCT(MAPA_COTACAO!E10:E16, MAPA_COTACAO!U10:U16)</f>
      </c>
      <c r="E5" s="36">
        <f>SUM(MAPA_COTACAO!W10:W16)</f>
      </c>
      <c r="H5" s="37">
        <f>(SUM(MAPA_COTACAO!W10:W16)/(SUMPRODUCT(MAPA_COTACAO!E10:E16, MAPA_COTACAO!U10:U16)+SUM(MAPA_COTACAO!W10:W16)))</f>
      </c>
      <c r="K5" s="38" t="s">
        <v>69</v>
      </c>
    </row>
    <row r="8" ht="24" customHeight="1" spans="2:7" x14ac:dyDescent="0.25">
      <c r="B8" s="39" t="s">
        <v>70</v>
      </c>
      <c r="C8" s="39"/>
      <c r="D8" s="39"/>
      <c r="E8" s="39"/>
      <c r="F8" s="39"/>
      <c r="G8" s="39"/>
    </row>
    <row r="9" spans="2:6" x14ac:dyDescent="0.25">
      <c r="B9" s="40" t="s">
        <v>71</v>
      </c>
      <c r="C9" s="40" t="s">
        <v>72</v>
      </c>
      <c r="D9" s="40" t="s">
        <v>73</v>
      </c>
      <c r="E9" s="40" t="s">
        <v>74</v>
      </c>
      <c r="F9" s="40" t="s">
        <v>75</v>
      </c>
    </row>
    <row r="10" ht="20" customHeight="1" spans="2:6" x14ac:dyDescent="0.25">
      <c r="B10" s="3" t="s">
        <v>76</v>
      </c>
      <c r="C10" s="41">
        <v>4</v>
      </c>
      <c r="D10" s="42">
        <v>8.5</v>
      </c>
      <c r="E10" s="43">
        <v>0.571</v>
      </c>
      <c r="F10" s="3" t="s">
        <v>77</v>
      </c>
    </row>
    <row r="11" ht="20" customHeight="1" spans="2:6" x14ac:dyDescent="0.25">
      <c r="B11" s="3" t="s">
        <v>78</v>
      </c>
      <c r="C11" s="41">
        <v>1</v>
      </c>
      <c r="D11" s="42">
        <v>11</v>
      </c>
      <c r="E11" s="43">
        <v>0.143</v>
      </c>
      <c r="F11" s="3" t="s">
        <v>77</v>
      </c>
    </row>
    <row r="12" ht="20" customHeight="1" spans="2:6" x14ac:dyDescent="0.25">
      <c r="B12" s="3" t="s">
        <v>79</v>
      </c>
      <c r="C12" s="41">
        <v>2</v>
      </c>
      <c r="D12" s="42">
        <v>7.2</v>
      </c>
      <c r="E12" s="43">
        <v>0.286</v>
      </c>
      <c r="F12" s="3" t="s">
        <v>77</v>
      </c>
    </row>
  </sheetData>
  <mergeCells count="2">
    <mergeCell ref="B2:M2"/>
    <mergeCell ref="B8:G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/>
  </sheetViews>
  <sheetFormatPr defaultRowHeight="15" outlineLevelRow="0" outlineLevelCol="0" x14ac:dyDescent="55"/>
  <cols>
    <col min="1" max="1" width="22" customWidth="1"/>
    <col min="2" max="2" width="20" customWidth="1"/>
    <col min="3" max="3" width="16" customWidth="1"/>
    <col min="4" max="4" width="25" customWidth="1"/>
    <col min="5" max="5" width="18" customWidth="1"/>
    <col min="6" max="6" width="22" customWidth="1"/>
  </cols>
  <sheetData>
    <row r="1" ht="32" customHeight="1" spans="1:6" x14ac:dyDescent="0.25">
      <c r="A1" s="44" t="s">
        <v>80</v>
      </c>
      <c r="B1" s="44"/>
      <c r="C1" s="44"/>
      <c r="D1" s="44"/>
      <c r="E1" s="44"/>
      <c r="F1" s="44"/>
    </row>
    <row r="3" ht="24" customHeight="1" spans="1:6" x14ac:dyDescent="0.25">
      <c r="A3" s="40" t="s">
        <v>81</v>
      </c>
      <c r="B3" s="40" t="s">
        <v>82</v>
      </c>
      <c r="C3" s="40" t="s">
        <v>83</v>
      </c>
      <c r="D3" s="40" t="s">
        <v>84</v>
      </c>
      <c r="E3" s="40" t="s">
        <v>85</v>
      </c>
      <c r="F3" s="40" t="s">
        <v>86</v>
      </c>
    </row>
    <row r="4" ht="20" customHeight="1" spans="1:6" x14ac:dyDescent="0.25">
      <c r="A4" s="3" t="s">
        <v>87</v>
      </c>
      <c r="B4" s="3" t="s">
        <v>88</v>
      </c>
      <c r="C4" s="3" t="s">
        <v>2</v>
      </c>
      <c r="D4" s="3" t="s">
        <v>89</v>
      </c>
      <c r="E4" s="45">
        <v>0</v>
      </c>
      <c r="F4" s="3" t="s">
        <v>90</v>
      </c>
    </row>
    <row r="5" ht="20" customHeight="1" spans="1:6" x14ac:dyDescent="0.25">
      <c r="A5" s="3" t="s">
        <v>91</v>
      </c>
      <c r="B5" s="3" t="s">
        <v>88</v>
      </c>
      <c r="C5" s="3" t="s">
        <v>2</v>
      </c>
      <c r="D5" s="3" t="s">
        <v>92</v>
      </c>
      <c r="E5" s="45">
        <v>58240</v>
      </c>
      <c r="F5" s="3" t="s">
        <v>7</v>
      </c>
    </row>
    <row r="6" ht="20" customHeight="1" spans="1:6" x14ac:dyDescent="0.25">
      <c r="A6" s="3" t="s">
        <v>93</v>
      </c>
      <c r="B6" s="3" t="s">
        <v>94</v>
      </c>
      <c r="C6" s="3" t="s">
        <v>2</v>
      </c>
      <c r="D6" s="3" t="s">
        <v>95</v>
      </c>
      <c r="E6" s="45">
        <v>58240</v>
      </c>
      <c r="F6" s="3" t="s">
        <v>96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MAPA_COTACAO</vt:lpstr>
      <vt:lpstr>DASHBOARD_SABERX</vt:lpstr>
      <vt:lpstr>LOG_AUDITORIA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SaberX Procurement AI</dc:creator>
  <dc:title/>
  <dc:subject/>
  <dc:description/>
  <cp:keywords/>
  <cp:category/>
  <cp:lastModifiedBy>Arquiteto de Soluções SaberX</cp:lastModifiedBy>
  <dcterms:created xsi:type="dcterms:W3CDTF">2026-09-25T16:09:47Z</dcterms:created>
  <dcterms:modified xsi:type="dcterms:W3CDTF">2026-09-25T16:09:47Z</dcterms:modified>
</cp:coreProperties>
</file>